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tulio/Documents/Houriiyah/2025_projects/Mauritius_CHIKV/"/>
    </mc:Choice>
  </mc:AlternateContent>
  <xr:revisionPtr revIDLastSave="0" documentId="13_ncr:1_{4AFE3934-DF90-9F4A-8C64-225ED6A2BFEE}" xr6:coauthVersionLast="47" xr6:coauthVersionMax="47" xr10:uidLastSave="{00000000-0000-0000-0000-000000000000}"/>
  <bookViews>
    <workbookView xWindow="40" yWindow="760" windowWidth="34560" windowHeight="20500" xr2:uid="{A7AE8AAE-050C-E64B-9DC1-CCE8D2CF7BC3}"/>
  </bookViews>
  <sheets>
    <sheet name="Mauritius 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0" i="1" l="1"/>
  <c r="E59" i="1" l="1"/>
  <c r="E56" i="1"/>
  <c r="E55" i="1"/>
  <c r="E54" i="1"/>
  <c r="E10" i="1"/>
  <c r="E9" i="1"/>
  <c r="E8" i="1"/>
  <c r="E7" i="1"/>
  <c r="E6" i="1"/>
  <c r="E5" i="1"/>
  <c r="E4" i="1"/>
  <c r="E3" i="1"/>
  <c r="E2" i="1"/>
  <c r="E50" i="1"/>
  <c r="E49" i="1"/>
  <c r="E52" i="1"/>
  <c r="E51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</calcChain>
</file>

<file path=xl/sharedStrings.xml><?xml version="1.0" encoding="utf-8"?>
<sst xmlns="http://schemas.openxmlformats.org/spreadsheetml/2006/main" count="479" uniqueCount="195">
  <si>
    <t>Sequence names</t>
  </si>
  <si>
    <t>newname</t>
  </si>
  <si>
    <t>Lab no</t>
  </si>
  <si>
    <t>Collection date</t>
  </si>
  <si>
    <t>Collection date (text)</t>
  </si>
  <si>
    <t xml:space="preserve">sex </t>
  </si>
  <si>
    <t>age</t>
  </si>
  <si>
    <t>District/nationality</t>
  </si>
  <si>
    <t>Imported local</t>
  </si>
  <si>
    <t>Batch</t>
  </si>
  <si>
    <t>Country</t>
  </si>
  <si>
    <t>37160_ubheeram_j-NC_004162.2-0-0 assigned as: Chikungunya virus (taxon:37124)</t>
  </si>
  <si>
    <t>Mauritius_37160_RODRIGUES_RODRIGUES_2025-03-29</t>
  </si>
  <si>
    <t>M</t>
  </si>
  <si>
    <t>RODRIGUES</t>
  </si>
  <si>
    <t>Batch 2</t>
  </si>
  <si>
    <t>Mauritius</t>
  </si>
  <si>
    <t>37161_ubheeram_j-NC_004162.2-0-0 assigned as: Chikungunya virus (taxon:37124)</t>
  </si>
  <si>
    <t>Mauritius_37161_RODRIGUES_RODRIGUES_2025-03-29</t>
  </si>
  <si>
    <t>37312_ubheeram_j-NC_004162.2-0-0 assigned as: Chikungunya virus (taxon:37124)</t>
  </si>
  <si>
    <t>Mauritius_37312_PAMPLEMOUSSES_LOCAL_2025-04-01</t>
  </si>
  <si>
    <t>PAMPLEMOUSSES</t>
  </si>
  <si>
    <t>LOCAL</t>
  </si>
  <si>
    <t>37313_ubheeram_j-NC_004162.2-0-0 assigned as: Chikungunya virus (taxon:37124)</t>
  </si>
  <si>
    <t>Mauritius_37313_BLACK-RIVER_LOCAL_2025-04-02</t>
  </si>
  <si>
    <t>F</t>
  </si>
  <si>
    <t>BLACK-RIVER</t>
  </si>
  <si>
    <t>37316_ubheeram_j-NC_004162.2-0-0 assigned as: Chikungunya virus (taxon:37124)</t>
  </si>
  <si>
    <t>Mauritius_37316_LOCAL_2025-04-01</t>
  </si>
  <si>
    <t>37322_ubheeram_j-NC_004162.2-0-0 assigned as: Chikungunya virus (taxon:37124)</t>
  </si>
  <si>
    <t>Mauritius_37322_PAMPLEMOUSSES_LOCAL_2025-03-31</t>
  </si>
  <si>
    <t>37370_ubheeram_j-NC_004162.2-0-0 assigned as: Chikungunya virus (taxon:37124)</t>
  </si>
  <si>
    <t>Mauritius_37370_PLAINEWILHEMS_LOCAL_2025-04-02</t>
  </si>
  <si>
    <t>PLAINE WILHEMS</t>
  </si>
  <si>
    <t>37574_ubheeram_j-NC_004162.2-0-0 assigned as: Chikungunya virus (taxon:37124)</t>
  </si>
  <si>
    <t>Mauritius_37574_PAMPLEMOUSSES_LOCAL_2025-04-02</t>
  </si>
  <si>
    <t>37637_ubheeram_j-NC_004162.2-0-0 assigned as: Chikungunya virus (taxon:37124)</t>
  </si>
  <si>
    <t>Mauritius_37637_PAMPLEMOUSSES_LOCAL_2025-04-03</t>
  </si>
  <si>
    <t>37775_ubheeram_j-NC_004162.2-0-0 assigned as: Chikungunya virus (taxon:37124)</t>
  </si>
  <si>
    <t>Mauritius_37775_PAMPLEMOUSSES_LOCAL_2025-04-04</t>
  </si>
  <si>
    <t>37788_ubheeram_j-NC_004162.2-0-0 assigned as: Chikungunya virus (taxon:37124)</t>
  </si>
  <si>
    <t>Mauritius_37788_PAMPLEMOUSSES_LOCAL_2025-04-04</t>
  </si>
  <si>
    <t>37988_ubheeram_j-NC_004162.2-0-0 assigned as: Chikungunya virus (taxon:37124)</t>
  </si>
  <si>
    <t>Mauritius_37988_BLACK-RIVER_LOCAL_2025-04-04</t>
  </si>
  <si>
    <t>38080_ubheeram_j-NC_004162.2-0-0 assigned as: Chikungunya virus (taxon:37124)</t>
  </si>
  <si>
    <t>Mauritius_38080_BLACK-RIVER_LOCAL_2025-04-06</t>
  </si>
  <si>
    <t>38316_ubheeram_j-NC_004162.2-0-0 assigned as: Chikungunya virus (taxon:37124)</t>
  </si>
  <si>
    <t>Mauritius_38316_RIVIEREDUREMPART_LOCAL_2025-04-08</t>
  </si>
  <si>
    <t>RIVIERE DU REMPART</t>
  </si>
  <si>
    <t>38408_ubheeram_j-NC_004162.2-0-0 assigned as: Chikungunya virus (taxon:37124)</t>
  </si>
  <si>
    <t>Mauritius_38408_PAMPLEMOUSSES_RODRIGUES_2025-04-07</t>
  </si>
  <si>
    <t>38491_ubheeram_j-NC_004162.2-0-0 assigned as: Chikungunya virus (taxon:37124)</t>
  </si>
  <si>
    <t>Mauritius_38491_BLACK-RIVER_LOCAL_2025-04-09</t>
  </si>
  <si>
    <t>38496_ubheeram_j-NC_004162.2-0-0 assigned as: Chikungunya virus (taxon:37124)</t>
  </si>
  <si>
    <t>Mauritius_38496_PAMPLEMOUSSES_LOCAL_2025-04-09</t>
  </si>
  <si>
    <t>38628_ubheeram_j-NC_004162.2-0-0 assigned as: Chikungunya virus (taxon:37124)</t>
  </si>
  <si>
    <t>Mauritius_38628_RIVIEREDUREMPART_LOCAL_2025-04-10</t>
  </si>
  <si>
    <t>38699_ubheeram_j-NC_004162.2-0-0 assigned as: Chikungunya virus (taxon:37124)</t>
  </si>
  <si>
    <t>Mauritius_38699_PLAINEWILHEMS_LOCAL_2025-04-10</t>
  </si>
  <si>
    <t>38776_ubheeram_j-NC_004162.2-0-0 assigned as: Chikungunya virus (taxon:37124)</t>
  </si>
  <si>
    <t>Mauritius_38776_RIVIEREDUREMPART_LOCAL_2025-04-10</t>
  </si>
  <si>
    <t>38827_ubheeram_j-NC_004162.2-0-0 assigned as: Chikungunya virus (taxon:37124)</t>
  </si>
  <si>
    <t>Mauritius_38827_PAMPLEMOUSSES_LOCAL_2025-04-11</t>
  </si>
  <si>
    <t>38828_ubheeram_j-NC_004162.2-0-0 assigned as: Chikungunya virus (taxon:37124)</t>
  </si>
  <si>
    <t>Mauritius_38828_PAMPLEMOUSSES_LOCAL_2025-04-11</t>
  </si>
  <si>
    <t>39088_ubheeram_j-NC_004162.2-0-0 assigned as: Chikungunya virus (taxon:37124)</t>
  </si>
  <si>
    <t>Mauritius_39088_PAMPLEMOUSSES_LOCAL_2025-04-10</t>
  </si>
  <si>
    <t>39212_ubheeram_j-NC_004162.2-0-0 assigned as: Chikungunya virus (taxon:37124)</t>
  </si>
  <si>
    <t>Mauritius_39212_RODRIGUES_RODRIGUES_2025-04-13</t>
  </si>
  <si>
    <t>39529_ubheeram_j-NC_004162.2-0-0 assigned as: Chikungunya virus (taxon:37124)</t>
  </si>
  <si>
    <t>Mauritius_39529_PORT-LOUIS_LOCAL_2025-04-16</t>
  </si>
  <si>
    <t>PORT-LOUIS</t>
  </si>
  <si>
    <t>39731_ubheeram_j-NC_004162.2-0-0 assigned as: Chikungunya virus (taxon:37124)</t>
  </si>
  <si>
    <t>Mauritius_39731_BLACK-RIVER_LOCAL_2025-04-18</t>
  </si>
  <si>
    <t>45095_ubheeram_j-NC_004162.2-0-0 assigned as: Chikungunya virus (taxon:37124)</t>
  </si>
  <si>
    <t>Mauritius_45095_PAMPLEMOUSSES_LOCAL_2025-04-18</t>
  </si>
  <si>
    <t>45147_ubheeram_j-NC_004162.2-0-0 assigned as: Chikungunya virus (taxon:37124)</t>
  </si>
  <si>
    <t>Mauritius_45147_FLACQ_LOCAL_2025-04-19</t>
  </si>
  <si>
    <t>FLACQ</t>
  </si>
  <si>
    <t>45206_ubheeram_j-NC_004162.2-0-0 assigned as: Chikungunya virus (taxon:37124)</t>
  </si>
  <si>
    <t>Mauritius_45206_BLACK-RIVER_LOCAL_2025-04-19</t>
  </si>
  <si>
    <t>45208_ubheeram_j-NC_004162.2-0-0 assigned as: Chikungunya virus (taxon:37124)</t>
  </si>
  <si>
    <t>Mauritius_45208_PLAINEWILHEMS_LOCAL_2025-04-18</t>
  </si>
  <si>
    <t>45217_ubheeram_j-NC_004162.2-0-0 assigned as: Chikungunya virus (taxon:37124)</t>
  </si>
  <si>
    <t>Mauritius_45217_BLACK-RIVER_LOCAL_2025-04-18</t>
  </si>
  <si>
    <t>45318_ubheeram_j-NC_004162.2-0-0 assigned as: Chikungunya virus (taxon:37124)</t>
  </si>
  <si>
    <t>Mauritius_45318_RIVIEREDUREMPART_LOCAL_2025-04-20</t>
  </si>
  <si>
    <t>45332_ubheeram_j-NC_004162.2-0-0 assigned as: Chikungunya virus (taxon:37124)</t>
  </si>
  <si>
    <t>Mauritius_45332_LOCAL_2025-04-21</t>
  </si>
  <si>
    <t>45420_ubheeram_j-NC_004162.2-0-0 assigned as: Chikungunya virus (taxon:37124)</t>
  </si>
  <si>
    <t>Mauritius_45420_FLACQ_LOCAL_2025-04-21</t>
  </si>
  <si>
    <t>45662_ubheeram_j-NC_004162.2-0-0 assigned as: Chikungunya virus (taxon:37124)</t>
  </si>
  <si>
    <t>Mauritius_45662_PLAINEWILHEMS_LOCAL_2025-04-22</t>
  </si>
  <si>
    <t>45678_ubheeram_j-NC_004162.2-0-0 assigned as: Chikungunya virus (taxon:37124)</t>
  </si>
  <si>
    <t>Mauritius_45678_PAMPLEMOUSSES_LOCAL_2025-04-22</t>
  </si>
  <si>
    <t>45920_ubheeram_j-NC_004162.2-0-0 assigned as: Chikungunya virus (taxon:37124)</t>
  </si>
  <si>
    <t>Mauritius_45920_2025-04-01</t>
  </si>
  <si>
    <t>45972_ubheeram_j-NC_004162.2-0-0 assigned as: Chikungunya virus (taxon:37124)</t>
  </si>
  <si>
    <t>Mauritius_45972_2025-04-01</t>
  </si>
  <si>
    <t>8031-25-NC_004162.2-0-0 assigned as: Chikungunya virus (taxon:37124)</t>
  </si>
  <si>
    <t>Mauritius_8031_RIVIERENOIRE_2025-03-20</t>
  </si>
  <si>
    <t>RIVIERE NOIRE</t>
  </si>
  <si>
    <t>8031B-25-NC_004162.2-0-0 assigned as: Chikungunya virus (taxon:37124)</t>
  </si>
  <si>
    <t>Mauritius_8031_2025-03-20</t>
  </si>
  <si>
    <t>DC6777-25-NC_004162.2-1-0 assigned as: Chikungunya virus (taxon:37124)</t>
  </si>
  <si>
    <t>Mauritius_DC6777_2025-04-01</t>
  </si>
  <si>
    <t>I608-16-NC_004162.2-0-0 assigned as: Chikungunya virus (taxon:37124)</t>
  </si>
  <si>
    <t>Mauritius_I608-16_2025-04-01</t>
  </si>
  <si>
    <t>I777-19-NC_004162.2-3-0 assigned as: Chikungunya virus (taxon:37124)</t>
  </si>
  <si>
    <t>Mauritius_I777-19_2025-04-01</t>
  </si>
  <si>
    <t xml:space="preserve">6777-25 </t>
  </si>
  <si>
    <t>Mauritius_26777_TAMARIN_2025-03-21</t>
  </si>
  <si>
    <t xml:space="preserve"> TAMARIN</t>
  </si>
  <si>
    <t>Batch 1</t>
  </si>
  <si>
    <t>8031-25</t>
  </si>
  <si>
    <t>26816-25</t>
  </si>
  <si>
    <t>Mauritius_26816_PAMPLEMOUSSES_LOCAL_2025-03-22</t>
  </si>
  <si>
    <t>27010-25</t>
  </si>
  <si>
    <t>Mauritius_27010_LOCAL_2025-03-24</t>
  </si>
  <si>
    <t>27211-25</t>
  </si>
  <si>
    <t>Mauritius_27211_PORT-LOUIS_LOCAL_2025-03-26</t>
  </si>
  <si>
    <t>27284-25</t>
  </si>
  <si>
    <t>Mauritius_27284_TAMARIN_2025-03-26</t>
  </si>
  <si>
    <t>TAMARIN</t>
  </si>
  <si>
    <t>36503-25</t>
  </si>
  <si>
    <t>Mauritius_36503_REUNION_IMPORTED_2025-03-27</t>
  </si>
  <si>
    <t>REUNION</t>
  </si>
  <si>
    <t>IMPORTED</t>
  </si>
  <si>
    <t>36519-25</t>
  </si>
  <si>
    <t>Mauritius_36519_LOCAL_2025-03-27</t>
  </si>
  <si>
    <t>36718-25</t>
  </si>
  <si>
    <t>Mauritius_36718_TAMARIN_2025-03-28</t>
  </si>
  <si>
    <t>36977-25</t>
  </si>
  <si>
    <t>Mauritius_36977_VACOAS_2025-03-30</t>
  </si>
  <si>
    <t xml:space="preserve"> VACOAS</t>
  </si>
  <si>
    <t>36984-25</t>
  </si>
  <si>
    <t>Mauritius_36984_POINTECOTTON-Rodrigues_2025-03-30</t>
  </si>
  <si>
    <t>POINTE COTTON-Rodrigues</t>
  </si>
  <si>
    <t>i168-06</t>
  </si>
  <si>
    <t>Chik Isolates from 2006</t>
  </si>
  <si>
    <t>i180-06</t>
  </si>
  <si>
    <t xml:space="preserve">Chik Isolates </t>
  </si>
  <si>
    <t>i540-06</t>
  </si>
  <si>
    <t>i89-06</t>
  </si>
  <si>
    <t>Mauritius_8031-25-2_RIVIERENOIRE_2025-03-20</t>
  </si>
  <si>
    <t>Mauritius_i168-06_ChikIsolates_2006-01-01</t>
  </si>
  <si>
    <t>Mauritius_i180-06_ChikIsolates_2006-01-01</t>
  </si>
  <si>
    <t>Mauritius_i540-06_ChikIsolates_2006-01-01</t>
  </si>
  <si>
    <t>Mauritius_i89-06_ChikIsolates_2006-01-01</t>
  </si>
  <si>
    <t>I2308-16</t>
  </si>
  <si>
    <t>coverage</t>
  </si>
  <si>
    <t>name</t>
  </si>
  <si>
    <t>37160|Chikungunya_virus|Full-0</t>
  </si>
  <si>
    <t>37161_ubheeram_j-NC_004162.2-0</t>
  </si>
  <si>
    <t>37312_ubheeram_j-NC_004162.2-0</t>
  </si>
  <si>
    <t>37313_ubheeram_j-NC_004162.2-0</t>
  </si>
  <si>
    <t>37316_ubheeram_j-NC_004162.2-0</t>
  </si>
  <si>
    <t>37322_ubheeram_j-NC_004162.2-0</t>
  </si>
  <si>
    <t>37370_ubheeram_j-NC_004162.2-0</t>
  </si>
  <si>
    <t>37574_ubheeram_j-NC_004162.2-0</t>
  </si>
  <si>
    <t>37637_ubheeram_j-NC_004162.2-0</t>
  </si>
  <si>
    <t>37775_ubheeram_j-NC_004162.2-0</t>
  </si>
  <si>
    <t>37788_ubheeram_j-NC_004162.2-0</t>
  </si>
  <si>
    <t>38080_ubheeram_j-NC_004162.2-0</t>
  </si>
  <si>
    <t>38316_ubheeram_j-NC_004162.2-0</t>
  </si>
  <si>
    <t>38408_ubheeram_j-NC_004162.2-0</t>
  </si>
  <si>
    <t>38491_ubheeram_j-NC_004162.2-0</t>
  </si>
  <si>
    <t>38496_ubheeram_j-NC_004162.2-0</t>
  </si>
  <si>
    <t>38628_ubheeram_j-NC_004162.2-0</t>
  </si>
  <si>
    <t>38699_ubheeram_j-NC_004162.2-0</t>
  </si>
  <si>
    <t>38776_ubheeram_j-NC_004162.2-0</t>
  </si>
  <si>
    <t>38827_ubheeram_j-NC_004162.2-0</t>
  </si>
  <si>
    <t>38828_ubheeram_j-NC_004162.2-0</t>
  </si>
  <si>
    <t>39088_ubheeram_j-NC_004162.2-0</t>
  </si>
  <si>
    <t>39212_ubheeram_j-NC_004162.2-0</t>
  </si>
  <si>
    <t>39529_ubheeram_j-NC_004162.2-0</t>
  </si>
  <si>
    <t>39731_ubheeram_j-NC_004162.2-0</t>
  </si>
  <si>
    <t>45095_ubheeram_j-NC_004162.2-0</t>
  </si>
  <si>
    <t>45147_ubheeram_j-NC_004162.2-0</t>
  </si>
  <si>
    <t>45206_ubheeram_j-NC_004162.2-0</t>
  </si>
  <si>
    <t>45208_ubheeram_j-NC_004162.2-0</t>
  </si>
  <si>
    <t>45217_ubheeram_j-NC_004162.2-0</t>
  </si>
  <si>
    <t>45318_ubheeram_j-NC_004162.2-0</t>
  </si>
  <si>
    <t>45332_ubheeram_j-NC_004162.2-0</t>
  </si>
  <si>
    <t>45420_ubheeram_j-NC_004162.2-0</t>
  </si>
  <si>
    <t>45662_ubheeram_j-NC_004162.2-0</t>
  </si>
  <si>
    <t>45678_ubheeram_j-NC_004162.2-0</t>
  </si>
  <si>
    <t>45920_ubheeram_j-NC_004162.2-0</t>
  </si>
  <si>
    <t>45972_ubheeram_j-NC_004162.2-0</t>
  </si>
  <si>
    <t>6777-25</t>
  </si>
  <si>
    <t>DC6777-25-NC_004162.2-1-0</t>
  </si>
  <si>
    <t>I608-16-NC_004162.2-0-0</t>
  </si>
  <si>
    <t>I777-19-NC_004162.2-3-0</t>
  </si>
  <si>
    <t>Ct</t>
  </si>
  <si>
    <t>District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</si>
</sst>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3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b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164" fontId="0" fillId="0" borderId="0" xfId="0" applyNumberFormat="1" applyProtection="1">
      <protection locked="0"/>
    </xf>
    <xf numFmtId="164" fontId="0" fillId="2" borderId="0" xfId="0" applyNumberFormat="1" applyFill="1" applyProtection="1">
      <protection locked="0"/>
    </xf>
    <xf numFmtId="0" fontId="0" fillId="2" borderId="0" xfId="0" applyFill="1"/>
    <xf numFmtId="164" fontId="0" fillId="0" borderId="0" xfId="0" applyNumberFormat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64" fontId="0" fillId="2" borderId="0" xfId="0" applyNumberFormat="1" applyFill="1"/>
    <xf numFmtId="0" fontId="0" fillId="3" borderId="0" xfId="0" applyFill="1"/>
    <xf numFmtId="164" fontId="0" fillId="3" borderId="0" xfId="0" applyNumberFormat="1" applyFill="1"/>
    <xf numFmtId="164" fontId="0" fillId="3" borderId="0" xfId="0" applyNumberFormat="1" applyFill="1" applyProtection="1">
      <protection locked="0"/>
    </xf>
    <xf numFmtId="0" fontId="0" fillId="3" borderId="0" xfId="0" applyFill="1" applyAlignment="1" applyProtection="1">
      <alignment horizontal="left"/>
      <protection locked="0"/>
    </xf>
    <xf numFmtId="14" fontId="0" fillId="0" borderId="0" xfId="0" applyNumberFormat="1"/>
    <xf numFmtId="0" fontId="0" fillId="4" borderId="0" xfId="0" applyFill="1"/>
    <xf numFmtId="164" fontId="0" fillId="4" borderId="0" xfId="0" applyNumberFormat="1" applyFill="1" applyAlignment="1" applyProtection="1">
      <alignment horizontal="left"/>
      <protection locked="0"/>
    </xf>
    <xf numFmtId="164" fontId="0" fillId="4" borderId="0" xfId="0" applyNumberFormat="1" applyFill="1" applyProtection="1">
      <protection locked="0"/>
    </xf>
    <xf numFmtId="0" fontId="2" fillId="0" borderId="0" xfId="0" applyFont="1"/>
    <xf numFmtId="49" fontId="1" fillId="0" borderId="0" xfId="0" applyNumberFormat="1" applyFont="1"/>
    <xf numFmtId="49" fontId="0" fillId="0" borderId="0" xfId="0" applyNumberFormat="1" applyAlignment="1" applyProtection="1">
      <alignment horizontal="left"/>
      <protection locked="0"/>
    </xf>
    <xf numFmtId="49" fontId="0" fillId="0" borderId="0" xfId="0" applyNumberFormat="1"/>
    <xf numFmtId="49" fontId="0" fillId="2" borderId="0" xfId="0" applyNumberFormat="1" applyFill="1"/>
    <xf numFmtId="49" fontId="0" fillId="4" borderId="0" xfId="0" applyNumberFormat="1" applyFill="1"/>
    <xf numFmtId="49" fontId="0" fillId="3" borderId="0" xfId="0" applyNumberFormat="1" applyFill="1" applyAlignment="1" applyProtection="1">
      <alignment horizontal="left"/>
      <protection locked="0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93891-D5A3-E846-8414-9CA6AD220BD2}">
  <dimension ref="A1:O60"/>
  <sheetViews>
    <sheetView tabSelected="1" workbookViewId="0">
      <selection activeCell="I2" sqref="I2"/>
    </sheetView>
  </sheetViews>
  <sheetFormatPr baseColWidth="10" defaultRowHeight="16" x14ac:dyDescent="0.2"/>
  <cols>
    <col min="1" max="2" width="43.6640625" customWidth="1"/>
    <col min="9" max="9" width="23.5" style="19" bestFit="1" customWidth="1"/>
    <col min="14" max="14" width="45.83203125" customWidth="1"/>
    <col min="15" max="15" width="8.83203125" customWidth="1"/>
  </cols>
  <sheetData>
    <row r="1" spans="1:15" x14ac:dyDescent="0.2">
      <c r="A1" s="1" t="s">
        <v>0</v>
      </c>
      <c r="B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7" t="s">
        <v>194</v>
      </c>
      <c r="J1" s="1" t="s">
        <v>8</v>
      </c>
      <c r="K1" s="1" t="s">
        <v>193</v>
      </c>
      <c r="L1" s="1" t="s">
        <v>9</v>
      </c>
      <c r="M1" s="1" t="s">
        <v>10</v>
      </c>
      <c r="N1" s="16" t="s">
        <v>151</v>
      </c>
      <c r="O1" s="16" t="s">
        <v>150</v>
      </c>
    </row>
    <row r="2" spans="1:15" x14ac:dyDescent="0.2">
      <c r="A2" t="s">
        <v>115</v>
      </c>
      <c r="B2" t="s">
        <v>116</v>
      </c>
      <c r="C2" s="6">
        <v>26816</v>
      </c>
      <c r="D2" s="5">
        <v>45738</v>
      </c>
      <c r="E2" s="2" t="str">
        <f>TEXT(D2,"yyyy-mm-dd")</f>
        <v>2025-03-22</v>
      </c>
      <c r="F2" t="s">
        <v>13</v>
      </c>
      <c r="G2">
        <v>73</v>
      </c>
      <c r="H2" s="6" t="s">
        <v>21</v>
      </c>
      <c r="I2" s="18" t="s">
        <v>21</v>
      </c>
      <c r="J2" t="s">
        <v>22</v>
      </c>
      <c r="K2">
        <v>20</v>
      </c>
      <c r="L2" t="s">
        <v>113</v>
      </c>
      <c r="M2" t="s">
        <v>16</v>
      </c>
      <c r="N2" t="s">
        <v>115</v>
      </c>
      <c r="O2">
        <v>99.06139015728057</v>
      </c>
    </row>
    <row r="3" spans="1:15" x14ac:dyDescent="0.2">
      <c r="A3" t="s">
        <v>117</v>
      </c>
      <c r="B3" t="s">
        <v>118</v>
      </c>
      <c r="C3" s="6">
        <v>27010</v>
      </c>
      <c r="D3" s="5">
        <v>45740</v>
      </c>
      <c r="E3" s="2" t="str">
        <f>TEXT(D3,"yyyy-mm-dd")</f>
        <v>2025-03-24</v>
      </c>
      <c r="F3" t="s">
        <v>25</v>
      </c>
      <c r="G3">
        <v>40</v>
      </c>
      <c r="H3" s="6"/>
      <c r="I3" s="18"/>
      <c r="J3" t="s">
        <v>22</v>
      </c>
      <c r="K3">
        <v>24</v>
      </c>
      <c r="L3" t="s">
        <v>113</v>
      </c>
      <c r="M3" t="s">
        <v>16</v>
      </c>
      <c r="N3" t="s">
        <v>117</v>
      </c>
      <c r="O3">
        <v>99.036022323693544</v>
      </c>
    </row>
    <row r="4" spans="1:15" x14ac:dyDescent="0.2">
      <c r="A4" t="s">
        <v>119</v>
      </c>
      <c r="B4" t="s">
        <v>120</v>
      </c>
      <c r="C4" s="6">
        <v>27211</v>
      </c>
      <c r="D4" s="5">
        <v>45742</v>
      </c>
      <c r="E4" s="2" t="str">
        <f>TEXT(D4,"yyyy-mm-dd")</f>
        <v>2025-03-26</v>
      </c>
      <c r="F4" t="s">
        <v>25</v>
      </c>
      <c r="G4">
        <v>22</v>
      </c>
      <c r="H4" s="6" t="s">
        <v>71</v>
      </c>
      <c r="I4" s="18" t="s">
        <v>71</v>
      </c>
      <c r="J4" t="s">
        <v>22</v>
      </c>
      <c r="K4">
        <v>24</v>
      </c>
      <c r="L4" t="s">
        <v>113</v>
      </c>
      <c r="M4" t="s">
        <v>16</v>
      </c>
      <c r="N4" t="s">
        <v>119</v>
      </c>
      <c r="O4">
        <v>99.06984610180956</v>
      </c>
    </row>
    <row r="5" spans="1:15" x14ac:dyDescent="0.2">
      <c r="A5" t="s">
        <v>121</v>
      </c>
      <c r="B5" t="s">
        <v>122</v>
      </c>
      <c r="C5" s="6">
        <v>27284</v>
      </c>
      <c r="D5" s="5">
        <v>45742</v>
      </c>
      <c r="E5" s="2" t="str">
        <f>TEXT(D5,"yyyy-mm-dd")</f>
        <v>2025-03-26</v>
      </c>
      <c r="H5" s="6" t="s">
        <v>123</v>
      </c>
      <c r="I5" s="19" t="s">
        <v>26</v>
      </c>
      <c r="L5" t="s">
        <v>113</v>
      </c>
      <c r="M5" t="s">
        <v>16</v>
      </c>
      <c r="N5" t="s">
        <v>121</v>
      </c>
      <c r="O5">
        <v>99.06139015728057</v>
      </c>
    </row>
    <row r="6" spans="1:15" x14ac:dyDescent="0.2">
      <c r="A6" t="s">
        <v>124</v>
      </c>
      <c r="B6" t="s">
        <v>125</v>
      </c>
      <c r="C6" s="6">
        <v>36503</v>
      </c>
      <c r="D6" s="5">
        <v>45743</v>
      </c>
      <c r="E6" s="2" t="str">
        <f>TEXT(D6,"yyyy-mm-dd")</f>
        <v>2025-03-27</v>
      </c>
      <c r="F6" t="s">
        <v>13</v>
      </c>
      <c r="G6">
        <v>8</v>
      </c>
      <c r="H6" s="6" t="s">
        <v>126</v>
      </c>
      <c r="I6" s="18"/>
      <c r="J6" t="s">
        <v>127</v>
      </c>
      <c r="K6">
        <v>20</v>
      </c>
      <c r="L6" t="s">
        <v>113</v>
      </c>
      <c r="M6" t="s">
        <v>16</v>
      </c>
      <c r="N6" t="s">
        <v>124</v>
      </c>
      <c r="O6">
        <v>99.103669879925576</v>
      </c>
    </row>
    <row r="7" spans="1:15" x14ac:dyDescent="0.2">
      <c r="A7" t="s">
        <v>128</v>
      </c>
      <c r="B7" t="s">
        <v>129</v>
      </c>
      <c r="C7" s="6">
        <v>36519</v>
      </c>
      <c r="D7" s="5">
        <v>45743</v>
      </c>
      <c r="E7" s="2" t="str">
        <f>TEXT(D7,"yyyy-mm-dd")</f>
        <v>2025-03-27</v>
      </c>
      <c r="F7" t="s">
        <v>13</v>
      </c>
      <c r="G7">
        <v>82</v>
      </c>
      <c r="H7" s="6"/>
      <c r="I7" s="18"/>
      <c r="J7" t="s">
        <v>22</v>
      </c>
      <c r="K7">
        <v>20</v>
      </c>
      <c r="L7" t="s">
        <v>113</v>
      </c>
      <c r="M7" t="s">
        <v>16</v>
      </c>
      <c r="N7" t="s">
        <v>128</v>
      </c>
      <c r="O7">
        <v>99.036022323693544</v>
      </c>
    </row>
    <row r="8" spans="1:15" x14ac:dyDescent="0.2">
      <c r="A8" t="s">
        <v>130</v>
      </c>
      <c r="B8" t="s">
        <v>131</v>
      </c>
      <c r="C8" s="6">
        <v>36718</v>
      </c>
      <c r="D8" s="5">
        <v>45744</v>
      </c>
      <c r="E8" s="2" t="str">
        <f>TEXT(D8,"yyyy-mm-dd")</f>
        <v>2025-03-28</v>
      </c>
      <c r="H8" s="6" t="s">
        <v>123</v>
      </c>
      <c r="I8" s="19" t="s">
        <v>26</v>
      </c>
      <c r="L8" t="s">
        <v>113</v>
      </c>
      <c r="M8" t="s">
        <v>16</v>
      </c>
      <c r="N8" t="s">
        <v>130</v>
      </c>
      <c r="O8">
        <v>99.771689497716892</v>
      </c>
    </row>
    <row r="9" spans="1:15" x14ac:dyDescent="0.2">
      <c r="A9" t="s">
        <v>132</v>
      </c>
      <c r="B9" t="s">
        <v>133</v>
      </c>
      <c r="C9" s="6">
        <v>36977</v>
      </c>
      <c r="D9" s="5">
        <v>45746</v>
      </c>
      <c r="E9" s="2" t="str">
        <f>TEXT(D9,"yyyy-mm-dd")</f>
        <v>2025-03-30</v>
      </c>
      <c r="H9" s="6" t="s">
        <v>134</v>
      </c>
      <c r="I9" s="19" t="s">
        <v>33</v>
      </c>
      <c r="L9" t="s">
        <v>113</v>
      </c>
      <c r="M9" t="s">
        <v>16</v>
      </c>
      <c r="N9" t="s">
        <v>132</v>
      </c>
      <c r="O9">
        <v>99.036022323693544</v>
      </c>
    </row>
    <row r="10" spans="1:15" x14ac:dyDescent="0.2">
      <c r="A10" t="s">
        <v>135</v>
      </c>
      <c r="B10" t="s">
        <v>136</v>
      </c>
      <c r="C10" s="6">
        <v>36984</v>
      </c>
      <c r="D10" s="5">
        <v>45746</v>
      </c>
      <c r="E10" s="2" t="str">
        <f>TEXT(D10,"yyyy-mm-dd")</f>
        <v>2025-03-30</v>
      </c>
      <c r="H10" s="6" t="s">
        <v>137</v>
      </c>
      <c r="I10" s="19" t="s">
        <v>14</v>
      </c>
      <c r="L10" t="s">
        <v>113</v>
      </c>
      <c r="M10" t="s">
        <v>16</v>
      </c>
      <c r="N10" t="s">
        <v>135</v>
      </c>
      <c r="O10">
        <v>99.179773380686626</v>
      </c>
    </row>
    <row r="11" spans="1:15" x14ac:dyDescent="0.2">
      <c r="A11" t="s">
        <v>11</v>
      </c>
      <c r="B11" t="s">
        <v>12</v>
      </c>
      <c r="C11">
        <v>37160</v>
      </c>
      <c r="D11" s="2">
        <v>45745</v>
      </c>
      <c r="E11" s="2" t="str">
        <f>TEXT(D11,"yyyy-mm-dd")</f>
        <v>2025-03-29</v>
      </c>
      <c r="F11" t="s">
        <v>13</v>
      </c>
      <c r="G11">
        <v>74</v>
      </c>
      <c r="H11" t="s">
        <v>14</v>
      </c>
      <c r="I11" s="19" t="s">
        <v>14</v>
      </c>
      <c r="J11" t="s">
        <v>14</v>
      </c>
      <c r="K11">
        <v>16</v>
      </c>
      <c r="L11" t="s">
        <v>15</v>
      </c>
      <c r="M11" t="s">
        <v>16</v>
      </c>
      <c r="N11" t="s">
        <v>152</v>
      </c>
      <c r="O11">
        <v>94.520547945205479</v>
      </c>
    </row>
    <row r="12" spans="1:15" x14ac:dyDescent="0.2">
      <c r="A12" t="s">
        <v>17</v>
      </c>
      <c r="B12" t="s">
        <v>18</v>
      </c>
      <c r="C12">
        <v>37161</v>
      </c>
      <c r="D12" s="2">
        <v>45745</v>
      </c>
      <c r="E12" s="2" t="str">
        <f>TEXT(D12,"yyyy-mm-dd")</f>
        <v>2025-03-29</v>
      </c>
      <c r="F12" t="s">
        <v>13</v>
      </c>
      <c r="G12">
        <v>59</v>
      </c>
      <c r="H12" t="s">
        <v>14</v>
      </c>
      <c r="I12" s="19" t="s">
        <v>14</v>
      </c>
      <c r="J12" t="s">
        <v>14</v>
      </c>
      <c r="K12">
        <v>24</v>
      </c>
      <c r="L12" t="s">
        <v>15</v>
      </c>
      <c r="M12" t="s">
        <v>16</v>
      </c>
      <c r="N12" t="s">
        <v>153</v>
      </c>
      <c r="O12">
        <v>92.829359039404707</v>
      </c>
    </row>
    <row r="13" spans="1:15" x14ac:dyDescent="0.2">
      <c r="A13" t="s">
        <v>19</v>
      </c>
      <c r="B13" t="s">
        <v>20</v>
      </c>
      <c r="C13">
        <v>37312</v>
      </c>
      <c r="D13" s="2">
        <v>45748</v>
      </c>
      <c r="E13" s="2" t="str">
        <f>TEXT(D13,"yyyy-mm-dd")</f>
        <v>2025-04-01</v>
      </c>
      <c r="F13" t="s">
        <v>13</v>
      </c>
      <c r="G13">
        <v>67</v>
      </c>
      <c r="H13" t="s">
        <v>21</v>
      </c>
      <c r="I13" s="19" t="s">
        <v>21</v>
      </c>
      <c r="J13" t="s">
        <v>22</v>
      </c>
      <c r="K13">
        <v>18</v>
      </c>
      <c r="L13" t="s">
        <v>15</v>
      </c>
      <c r="M13" t="s">
        <v>16</v>
      </c>
      <c r="N13" t="s">
        <v>154</v>
      </c>
      <c r="O13">
        <v>92.837814983933711</v>
      </c>
    </row>
    <row r="14" spans="1:15" x14ac:dyDescent="0.2">
      <c r="A14" t="s">
        <v>23</v>
      </c>
      <c r="B14" t="s">
        <v>24</v>
      </c>
      <c r="C14">
        <v>37313</v>
      </c>
      <c r="D14" s="2">
        <v>45749</v>
      </c>
      <c r="E14" s="2" t="str">
        <f>TEXT(D14,"yyyy-mm-dd")</f>
        <v>2025-04-02</v>
      </c>
      <c r="F14" t="s">
        <v>25</v>
      </c>
      <c r="G14">
        <v>28</v>
      </c>
      <c r="H14" t="s">
        <v>26</v>
      </c>
      <c r="I14" s="19" t="s">
        <v>26</v>
      </c>
      <c r="J14" t="s">
        <v>22</v>
      </c>
      <c r="K14">
        <v>22</v>
      </c>
      <c r="L14" t="s">
        <v>15</v>
      </c>
      <c r="M14" t="s">
        <v>16</v>
      </c>
      <c r="N14" t="s">
        <v>155</v>
      </c>
      <c r="O14">
        <v>92.837814983933711</v>
      </c>
    </row>
    <row r="15" spans="1:15" x14ac:dyDescent="0.2">
      <c r="A15" t="s">
        <v>27</v>
      </c>
      <c r="B15" t="s">
        <v>28</v>
      </c>
      <c r="C15">
        <v>37316</v>
      </c>
      <c r="D15" s="2">
        <v>45748</v>
      </c>
      <c r="E15" s="2" t="str">
        <f>TEXT(D15,"yyyy-mm-dd")</f>
        <v>2025-04-01</v>
      </c>
      <c r="F15" t="s">
        <v>25</v>
      </c>
      <c r="G15">
        <v>64</v>
      </c>
      <c r="J15" t="s">
        <v>22</v>
      </c>
      <c r="K15">
        <v>16</v>
      </c>
      <c r="L15" t="s">
        <v>15</v>
      </c>
      <c r="M15" t="s">
        <v>16</v>
      </c>
      <c r="N15" t="s">
        <v>156</v>
      </c>
      <c r="O15">
        <v>92.829359039404707</v>
      </c>
    </row>
    <row r="16" spans="1:15" x14ac:dyDescent="0.2">
      <c r="A16" t="s">
        <v>29</v>
      </c>
      <c r="B16" t="s">
        <v>30</v>
      </c>
      <c r="C16">
        <v>37322</v>
      </c>
      <c r="D16" s="2">
        <v>45747</v>
      </c>
      <c r="E16" s="2" t="str">
        <f>TEXT(D16,"yyyy-mm-dd")</f>
        <v>2025-03-31</v>
      </c>
      <c r="F16" t="s">
        <v>13</v>
      </c>
      <c r="G16">
        <v>65</v>
      </c>
      <c r="H16" t="s">
        <v>21</v>
      </c>
      <c r="I16" s="19" t="s">
        <v>21</v>
      </c>
      <c r="J16" t="s">
        <v>22</v>
      </c>
      <c r="K16">
        <v>18</v>
      </c>
      <c r="L16" t="s">
        <v>15</v>
      </c>
      <c r="M16" t="s">
        <v>16</v>
      </c>
      <c r="N16" t="s">
        <v>157</v>
      </c>
      <c r="O16">
        <v>92.846270928462701</v>
      </c>
    </row>
    <row r="17" spans="1:15" x14ac:dyDescent="0.2">
      <c r="A17" t="s">
        <v>31</v>
      </c>
      <c r="B17" t="s">
        <v>32</v>
      </c>
      <c r="C17">
        <v>37370</v>
      </c>
      <c r="D17" s="2">
        <v>45749</v>
      </c>
      <c r="E17" s="2" t="str">
        <f>TEXT(D17,"yyyy-mm-dd")</f>
        <v>2025-04-02</v>
      </c>
      <c r="F17" t="s">
        <v>13</v>
      </c>
      <c r="G17">
        <v>44</v>
      </c>
      <c r="H17" t="s">
        <v>33</v>
      </c>
      <c r="I17" s="19" t="s">
        <v>33</v>
      </c>
      <c r="J17" t="s">
        <v>22</v>
      </c>
      <c r="K17">
        <v>20</v>
      </c>
      <c r="L17" t="s">
        <v>15</v>
      </c>
      <c r="M17" t="s">
        <v>16</v>
      </c>
      <c r="N17" t="s">
        <v>158</v>
      </c>
      <c r="O17">
        <v>92.829359039404707</v>
      </c>
    </row>
    <row r="18" spans="1:15" x14ac:dyDescent="0.2">
      <c r="A18" t="s">
        <v>34</v>
      </c>
      <c r="B18" t="s">
        <v>35</v>
      </c>
      <c r="C18">
        <v>37574</v>
      </c>
      <c r="D18" s="2">
        <v>45749</v>
      </c>
      <c r="E18" s="2" t="str">
        <f>TEXT(D18,"yyyy-mm-dd")</f>
        <v>2025-04-02</v>
      </c>
      <c r="F18" t="s">
        <v>25</v>
      </c>
      <c r="G18">
        <v>67</v>
      </c>
      <c r="H18" t="s">
        <v>21</v>
      </c>
      <c r="I18" s="19" t="s">
        <v>21</v>
      </c>
      <c r="J18" t="s">
        <v>22</v>
      </c>
      <c r="K18">
        <v>24</v>
      </c>
      <c r="L18" t="s">
        <v>15</v>
      </c>
      <c r="M18" t="s">
        <v>16</v>
      </c>
      <c r="N18" t="s">
        <v>159</v>
      </c>
      <c r="O18">
        <v>92.837814983933711</v>
      </c>
    </row>
    <row r="19" spans="1:15" x14ac:dyDescent="0.2">
      <c r="A19" t="s">
        <v>36</v>
      </c>
      <c r="B19" t="s">
        <v>37</v>
      </c>
      <c r="C19">
        <v>37637</v>
      </c>
      <c r="D19" s="2">
        <v>45750</v>
      </c>
      <c r="E19" s="2" t="str">
        <f>TEXT(D19,"yyyy-mm-dd")</f>
        <v>2025-04-03</v>
      </c>
      <c r="F19" t="s">
        <v>13</v>
      </c>
      <c r="G19">
        <v>54</v>
      </c>
      <c r="H19" t="s">
        <v>21</v>
      </c>
      <c r="I19" s="19" t="s">
        <v>21</v>
      </c>
      <c r="J19" t="s">
        <v>22</v>
      </c>
      <c r="K19">
        <v>20</v>
      </c>
      <c r="L19" t="s">
        <v>15</v>
      </c>
      <c r="M19" t="s">
        <v>16</v>
      </c>
      <c r="N19" t="s">
        <v>160</v>
      </c>
      <c r="O19">
        <v>83.849145949602573</v>
      </c>
    </row>
    <row r="20" spans="1:15" x14ac:dyDescent="0.2">
      <c r="A20" t="s">
        <v>38</v>
      </c>
      <c r="B20" t="s">
        <v>39</v>
      </c>
      <c r="C20">
        <v>37775</v>
      </c>
      <c r="D20" s="2">
        <v>45751</v>
      </c>
      <c r="E20" s="2" t="str">
        <f>TEXT(D20,"yyyy-mm-dd")</f>
        <v>2025-04-04</v>
      </c>
      <c r="F20" t="s">
        <v>13</v>
      </c>
      <c r="G20">
        <v>34</v>
      </c>
      <c r="H20" t="s">
        <v>21</v>
      </c>
      <c r="I20" s="19" t="s">
        <v>21</v>
      </c>
      <c r="J20" t="s">
        <v>22</v>
      </c>
      <c r="K20">
        <v>20</v>
      </c>
      <c r="L20" t="s">
        <v>15</v>
      </c>
      <c r="M20" t="s">
        <v>16</v>
      </c>
      <c r="N20" t="s">
        <v>161</v>
      </c>
      <c r="O20">
        <v>92.820903094875689</v>
      </c>
    </row>
    <row r="21" spans="1:15" x14ac:dyDescent="0.2">
      <c r="A21" t="s">
        <v>40</v>
      </c>
      <c r="B21" t="s">
        <v>41</v>
      </c>
      <c r="C21">
        <v>37788</v>
      </c>
      <c r="D21" s="2">
        <v>45751</v>
      </c>
      <c r="E21" s="2" t="str">
        <f>TEXT(D21,"yyyy-mm-dd")</f>
        <v>2025-04-04</v>
      </c>
      <c r="F21" t="s">
        <v>25</v>
      </c>
      <c r="G21">
        <v>69</v>
      </c>
      <c r="H21" t="s">
        <v>21</v>
      </c>
      <c r="I21" s="19" t="s">
        <v>21</v>
      </c>
      <c r="J21" t="s">
        <v>22</v>
      </c>
      <c r="K21">
        <v>20</v>
      </c>
      <c r="L21" t="s">
        <v>15</v>
      </c>
      <c r="M21" t="s">
        <v>16</v>
      </c>
      <c r="N21" t="s">
        <v>162</v>
      </c>
      <c r="O21">
        <v>92.837814983933711</v>
      </c>
    </row>
    <row r="22" spans="1:15" x14ac:dyDescent="0.2">
      <c r="A22" t="s">
        <v>42</v>
      </c>
      <c r="B22" t="s">
        <v>43</v>
      </c>
      <c r="C22">
        <v>37988</v>
      </c>
      <c r="D22" s="2">
        <v>45751</v>
      </c>
      <c r="E22" s="2" t="str">
        <f>TEXT(D22,"yyyy-mm-dd")</f>
        <v>2025-04-04</v>
      </c>
      <c r="F22" t="s">
        <v>13</v>
      </c>
      <c r="G22">
        <v>12</v>
      </c>
      <c r="H22" t="s">
        <v>26</v>
      </c>
      <c r="I22" s="19" t="s">
        <v>26</v>
      </c>
      <c r="J22" t="s">
        <v>22</v>
      </c>
      <c r="K22">
        <v>20</v>
      </c>
      <c r="L22" t="s">
        <v>15</v>
      </c>
      <c r="M22" t="s">
        <v>16</v>
      </c>
    </row>
    <row r="23" spans="1:15" x14ac:dyDescent="0.2">
      <c r="A23" t="s">
        <v>44</v>
      </c>
      <c r="B23" t="s">
        <v>45</v>
      </c>
      <c r="C23">
        <v>38080</v>
      </c>
      <c r="D23" s="2">
        <v>45753</v>
      </c>
      <c r="E23" s="2" t="str">
        <f>TEXT(D23,"yyyy-mm-dd")</f>
        <v>2025-04-06</v>
      </c>
      <c r="F23" t="s">
        <v>25</v>
      </c>
      <c r="G23">
        <v>68</v>
      </c>
      <c r="H23" t="s">
        <v>26</v>
      </c>
      <c r="I23" s="19" t="s">
        <v>26</v>
      </c>
      <c r="J23" t="s">
        <v>22</v>
      </c>
      <c r="K23">
        <v>14</v>
      </c>
      <c r="L23" t="s">
        <v>15</v>
      </c>
      <c r="M23" t="s">
        <v>16</v>
      </c>
      <c r="N23" t="s">
        <v>163</v>
      </c>
      <c r="O23">
        <v>92.837814983933711</v>
      </c>
    </row>
    <row r="24" spans="1:15" x14ac:dyDescent="0.2">
      <c r="A24" t="s">
        <v>46</v>
      </c>
      <c r="B24" t="s">
        <v>47</v>
      </c>
      <c r="C24">
        <v>38316</v>
      </c>
      <c r="D24" s="2">
        <v>45755</v>
      </c>
      <c r="E24" s="2" t="str">
        <f>TEXT(D24,"yyyy-mm-dd")</f>
        <v>2025-04-08</v>
      </c>
      <c r="F24" t="s">
        <v>25</v>
      </c>
      <c r="G24">
        <v>4</v>
      </c>
      <c r="H24" t="s">
        <v>48</v>
      </c>
      <c r="I24" s="19" t="s">
        <v>48</v>
      </c>
      <c r="J24" t="s">
        <v>22</v>
      </c>
      <c r="K24">
        <v>22</v>
      </c>
      <c r="L24" t="s">
        <v>15</v>
      </c>
      <c r="M24" t="s">
        <v>16</v>
      </c>
      <c r="N24" t="s">
        <v>164</v>
      </c>
      <c r="O24">
        <v>88.136309825807544</v>
      </c>
    </row>
    <row r="25" spans="1:15" x14ac:dyDescent="0.2">
      <c r="A25" t="s">
        <v>49</v>
      </c>
      <c r="B25" t="s">
        <v>50</v>
      </c>
      <c r="C25">
        <v>38408</v>
      </c>
      <c r="D25" s="2">
        <v>45754</v>
      </c>
      <c r="E25" s="2" t="str">
        <f>TEXT(D25,"yyyy-mm-dd")</f>
        <v>2025-04-07</v>
      </c>
      <c r="F25" t="s">
        <v>25</v>
      </c>
      <c r="G25">
        <v>53</v>
      </c>
      <c r="H25" t="s">
        <v>21</v>
      </c>
      <c r="I25" s="19" t="s">
        <v>21</v>
      </c>
      <c r="J25" t="s">
        <v>14</v>
      </c>
      <c r="K25">
        <v>20</v>
      </c>
      <c r="L25" t="s">
        <v>15</v>
      </c>
      <c r="M25" t="s">
        <v>16</v>
      </c>
      <c r="N25" t="s">
        <v>165</v>
      </c>
      <c r="O25">
        <v>92.474209369186539</v>
      </c>
    </row>
    <row r="26" spans="1:15" x14ac:dyDescent="0.2">
      <c r="A26" t="s">
        <v>51</v>
      </c>
      <c r="B26" t="s">
        <v>52</v>
      </c>
      <c r="C26">
        <v>38491</v>
      </c>
      <c r="D26" s="2">
        <v>45756</v>
      </c>
      <c r="E26" s="2" t="str">
        <f>TEXT(D26,"yyyy-mm-dd")</f>
        <v>2025-04-09</v>
      </c>
      <c r="F26" t="s">
        <v>25</v>
      </c>
      <c r="G26">
        <v>6</v>
      </c>
      <c r="H26" t="s">
        <v>26</v>
      </c>
      <c r="I26" s="19" t="s">
        <v>26</v>
      </c>
      <c r="J26" t="s">
        <v>22</v>
      </c>
      <c r="K26">
        <v>22</v>
      </c>
      <c r="L26" t="s">
        <v>15</v>
      </c>
      <c r="M26" t="s">
        <v>16</v>
      </c>
      <c r="N26" t="s">
        <v>166</v>
      </c>
      <c r="O26">
        <v>88.077118214104516</v>
      </c>
    </row>
    <row r="27" spans="1:15" x14ac:dyDescent="0.2">
      <c r="A27" t="s">
        <v>53</v>
      </c>
      <c r="B27" t="s">
        <v>54</v>
      </c>
      <c r="C27">
        <v>38496</v>
      </c>
      <c r="D27" s="2">
        <v>45756</v>
      </c>
      <c r="E27" s="2" t="str">
        <f>TEXT(D27,"yyyy-mm-dd")</f>
        <v>2025-04-09</v>
      </c>
      <c r="F27" t="s">
        <v>25</v>
      </c>
      <c r="G27">
        <v>37</v>
      </c>
      <c r="H27" t="s">
        <v>21</v>
      </c>
      <c r="I27" s="19" t="s">
        <v>21</v>
      </c>
      <c r="J27" t="s">
        <v>22</v>
      </c>
      <c r="K27">
        <v>20</v>
      </c>
      <c r="L27" t="s">
        <v>15</v>
      </c>
      <c r="M27" t="s">
        <v>16</v>
      </c>
      <c r="N27" t="s">
        <v>167</v>
      </c>
      <c r="O27">
        <v>89.717571452731278</v>
      </c>
    </row>
    <row r="28" spans="1:15" x14ac:dyDescent="0.2">
      <c r="A28" t="s">
        <v>55</v>
      </c>
      <c r="B28" t="s">
        <v>56</v>
      </c>
      <c r="C28">
        <v>38628</v>
      </c>
      <c r="D28" s="2">
        <v>45757</v>
      </c>
      <c r="E28" s="2" t="str">
        <f>TEXT(D28,"yyyy-mm-dd")</f>
        <v>2025-04-10</v>
      </c>
      <c r="F28" t="s">
        <v>13</v>
      </c>
      <c r="G28">
        <v>62</v>
      </c>
      <c r="H28" t="s">
        <v>48</v>
      </c>
      <c r="I28" s="19" t="s">
        <v>48</v>
      </c>
      <c r="J28" t="s">
        <v>22</v>
      </c>
      <c r="K28">
        <v>20</v>
      </c>
      <c r="L28" t="s">
        <v>15</v>
      </c>
      <c r="M28" t="s">
        <v>16</v>
      </c>
      <c r="N28" t="s">
        <v>168</v>
      </c>
      <c r="O28">
        <v>92.846270928462701</v>
      </c>
    </row>
    <row r="29" spans="1:15" x14ac:dyDescent="0.2">
      <c r="A29" t="s">
        <v>57</v>
      </c>
      <c r="B29" t="s">
        <v>58</v>
      </c>
      <c r="C29">
        <v>38699</v>
      </c>
      <c r="D29" s="2">
        <v>45757</v>
      </c>
      <c r="E29" s="2" t="str">
        <f>TEXT(D29,"yyyy-mm-dd")</f>
        <v>2025-04-10</v>
      </c>
      <c r="F29" t="s">
        <v>13</v>
      </c>
      <c r="G29">
        <v>36</v>
      </c>
      <c r="H29" t="s">
        <v>33</v>
      </c>
      <c r="I29" s="19" t="s">
        <v>33</v>
      </c>
      <c r="J29" t="s">
        <v>22</v>
      </c>
      <c r="K29">
        <v>24</v>
      </c>
      <c r="L29" t="s">
        <v>15</v>
      </c>
      <c r="M29" t="s">
        <v>16</v>
      </c>
      <c r="N29" t="s">
        <v>169</v>
      </c>
      <c r="O29">
        <v>92.803991205817695</v>
      </c>
    </row>
    <row r="30" spans="1:15" x14ac:dyDescent="0.2">
      <c r="A30" t="s">
        <v>59</v>
      </c>
      <c r="B30" t="s">
        <v>60</v>
      </c>
      <c r="C30">
        <v>38776</v>
      </c>
      <c r="D30" s="2">
        <v>45757</v>
      </c>
      <c r="E30" s="2" t="str">
        <f>TEXT(D30,"yyyy-mm-dd")</f>
        <v>2025-04-10</v>
      </c>
      <c r="F30" t="s">
        <v>25</v>
      </c>
      <c r="G30">
        <v>63</v>
      </c>
      <c r="H30" t="s">
        <v>48</v>
      </c>
      <c r="I30" s="19" t="s">
        <v>48</v>
      </c>
      <c r="J30" t="s">
        <v>22</v>
      </c>
      <c r="K30">
        <v>18</v>
      </c>
      <c r="L30" t="s">
        <v>15</v>
      </c>
      <c r="M30" t="s">
        <v>16</v>
      </c>
      <c r="N30" t="s">
        <v>170</v>
      </c>
      <c r="O30">
        <v>92.837814983933711</v>
      </c>
    </row>
    <row r="31" spans="1:15" x14ac:dyDescent="0.2">
      <c r="A31" t="s">
        <v>61</v>
      </c>
      <c r="B31" t="s">
        <v>62</v>
      </c>
      <c r="C31">
        <v>38827</v>
      </c>
      <c r="D31" s="2">
        <v>45758</v>
      </c>
      <c r="E31" s="2" t="str">
        <f>TEXT(D31,"yyyy-mm-dd")</f>
        <v>2025-04-11</v>
      </c>
      <c r="F31" t="s">
        <v>25</v>
      </c>
      <c r="G31">
        <v>57</v>
      </c>
      <c r="H31" t="s">
        <v>21</v>
      </c>
      <c r="I31" s="19" t="s">
        <v>21</v>
      </c>
      <c r="J31" t="s">
        <v>22</v>
      </c>
      <c r="K31">
        <v>22</v>
      </c>
      <c r="L31" t="s">
        <v>15</v>
      </c>
      <c r="M31" t="s">
        <v>16</v>
      </c>
      <c r="N31" t="s">
        <v>171</v>
      </c>
      <c r="O31">
        <v>92.871638762049727</v>
      </c>
    </row>
    <row r="32" spans="1:15" x14ac:dyDescent="0.2">
      <c r="A32" t="s">
        <v>63</v>
      </c>
      <c r="B32" t="s">
        <v>64</v>
      </c>
      <c r="C32">
        <v>38828</v>
      </c>
      <c r="D32" s="2">
        <v>45758</v>
      </c>
      <c r="E32" s="2" t="str">
        <f>TEXT(D32,"yyyy-mm-dd")</f>
        <v>2025-04-11</v>
      </c>
      <c r="F32" t="s">
        <v>13</v>
      </c>
      <c r="G32">
        <v>63</v>
      </c>
      <c r="H32" t="s">
        <v>21</v>
      </c>
      <c r="I32" s="19" t="s">
        <v>21</v>
      </c>
      <c r="J32" t="s">
        <v>22</v>
      </c>
      <c r="K32">
        <v>20</v>
      </c>
      <c r="L32" t="s">
        <v>15</v>
      </c>
      <c r="M32" t="s">
        <v>16</v>
      </c>
      <c r="N32" t="s">
        <v>172</v>
      </c>
      <c r="O32">
        <v>92.863182817520723</v>
      </c>
    </row>
    <row r="33" spans="1:15" x14ac:dyDescent="0.2">
      <c r="A33" t="s">
        <v>65</v>
      </c>
      <c r="B33" t="s">
        <v>66</v>
      </c>
      <c r="C33">
        <v>39088</v>
      </c>
      <c r="D33" s="2">
        <v>45757</v>
      </c>
      <c r="E33" s="2" t="str">
        <f>TEXT(D33,"yyyy-mm-dd")</f>
        <v>2025-04-10</v>
      </c>
      <c r="F33" t="s">
        <v>13</v>
      </c>
      <c r="G33">
        <v>38</v>
      </c>
      <c r="H33" t="s">
        <v>21</v>
      </c>
      <c r="I33" s="19" t="s">
        <v>21</v>
      </c>
      <c r="J33" t="s">
        <v>22</v>
      </c>
      <c r="K33">
        <v>22</v>
      </c>
      <c r="L33" t="s">
        <v>15</v>
      </c>
      <c r="M33" t="s">
        <v>16</v>
      </c>
      <c r="N33" t="s">
        <v>173</v>
      </c>
      <c r="O33">
        <v>85.810925080331472</v>
      </c>
    </row>
    <row r="34" spans="1:15" x14ac:dyDescent="0.2">
      <c r="A34" t="s">
        <v>67</v>
      </c>
      <c r="B34" t="s">
        <v>68</v>
      </c>
      <c r="C34">
        <v>39212</v>
      </c>
      <c r="D34" s="2">
        <v>45760</v>
      </c>
      <c r="E34" s="2" t="str">
        <f>TEXT(D34,"yyyy-mm-dd")</f>
        <v>2025-04-13</v>
      </c>
      <c r="F34" t="s">
        <v>13</v>
      </c>
      <c r="G34">
        <v>65</v>
      </c>
      <c r="H34" t="s">
        <v>14</v>
      </c>
      <c r="I34" s="19" t="s">
        <v>14</v>
      </c>
      <c r="J34" t="s">
        <v>14</v>
      </c>
      <c r="K34">
        <v>16</v>
      </c>
      <c r="L34" t="s">
        <v>15</v>
      </c>
      <c r="M34" t="s">
        <v>16</v>
      </c>
      <c r="N34" t="s">
        <v>174</v>
      </c>
      <c r="O34">
        <v>92.837814983933711</v>
      </c>
    </row>
    <row r="35" spans="1:15" x14ac:dyDescent="0.2">
      <c r="A35" t="s">
        <v>69</v>
      </c>
      <c r="B35" t="s">
        <v>70</v>
      </c>
      <c r="C35">
        <v>39529</v>
      </c>
      <c r="D35" s="2">
        <v>45763</v>
      </c>
      <c r="E35" s="2" t="str">
        <f>TEXT(D35,"yyyy-mm-dd")</f>
        <v>2025-04-16</v>
      </c>
      <c r="F35" t="s">
        <v>25</v>
      </c>
      <c r="G35">
        <v>64</v>
      </c>
      <c r="H35" t="s">
        <v>71</v>
      </c>
      <c r="I35" s="19" t="s">
        <v>71</v>
      </c>
      <c r="J35" t="s">
        <v>22</v>
      </c>
      <c r="K35">
        <v>24</v>
      </c>
      <c r="L35" t="s">
        <v>15</v>
      </c>
      <c r="M35" t="s">
        <v>16</v>
      </c>
      <c r="N35" t="s">
        <v>175</v>
      </c>
      <c r="O35">
        <v>92.846270928462701</v>
      </c>
    </row>
    <row r="36" spans="1:15" x14ac:dyDescent="0.2">
      <c r="A36" t="s">
        <v>72</v>
      </c>
      <c r="B36" t="s">
        <v>73</v>
      </c>
      <c r="C36">
        <v>39731</v>
      </c>
      <c r="D36" s="2">
        <v>45765</v>
      </c>
      <c r="E36" s="2" t="str">
        <f>TEXT(D36,"yyyy-mm-dd")</f>
        <v>2025-04-18</v>
      </c>
      <c r="F36" t="s">
        <v>25</v>
      </c>
      <c r="G36">
        <v>47</v>
      </c>
      <c r="H36" t="s">
        <v>26</v>
      </c>
      <c r="I36" s="19" t="s">
        <v>26</v>
      </c>
      <c r="J36" t="s">
        <v>22</v>
      </c>
      <c r="K36">
        <v>18</v>
      </c>
      <c r="L36" t="s">
        <v>15</v>
      </c>
      <c r="M36" t="s">
        <v>16</v>
      </c>
      <c r="N36" t="s">
        <v>176</v>
      </c>
      <c r="O36">
        <v>92.846270928462701</v>
      </c>
    </row>
    <row r="37" spans="1:15" x14ac:dyDescent="0.2">
      <c r="A37" t="s">
        <v>74</v>
      </c>
      <c r="B37" t="s">
        <v>75</v>
      </c>
      <c r="C37">
        <v>45095</v>
      </c>
      <c r="D37" s="2">
        <v>45765</v>
      </c>
      <c r="E37" s="2" t="str">
        <f>TEXT(D37,"yyyy-mm-dd")</f>
        <v>2025-04-18</v>
      </c>
      <c r="F37" t="s">
        <v>13</v>
      </c>
      <c r="G37">
        <v>76</v>
      </c>
      <c r="H37" t="s">
        <v>21</v>
      </c>
      <c r="I37" s="19" t="s">
        <v>21</v>
      </c>
      <c r="J37" t="s">
        <v>22</v>
      </c>
      <c r="K37">
        <v>18</v>
      </c>
      <c r="L37" t="s">
        <v>15</v>
      </c>
      <c r="M37" t="s">
        <v>16</v>
      </c>
      <c r="N37" t="s">
        <v>177</v>
      </c>
      <c r="O37">
        <v>92.846270928462701</v>
      </c>
    </row>
    <row r="38" spans="1:15" x14ac:dyDescent="0.2">
      <c r="A38" t="s">
        <v>76</v>
      </c>
      <c r="B38" t="s">
        <v>77</v>
      </c>
      <c r="C38">
        <v>45147</v>
      </c>
      <c r="D38" s="2">
        <v>45766</v>
      </c>
      <c r="E38" s="2" t="str">
        <f>TEXT(D38,"yyyy-mm-dd")</f>
        <v>2025-04-19</v>
      </c>
      <c r="F38" t="s">
        <v>13</v>
      </c>
      <c r="G38">
        <v>65</v>
      </c>
      <c r="H38" t="s">
        <v>78</v>
      </c>
      <c r="I38" s="19" t="s">
        <v>78</v>
      </c>
      <c r="J38" t="s">
        <v>22</v>
      </c>
      <c r="K38">
        <v>22</v>
      </c>
      <c r="L38" t="s">
        <v>15</v>
      </c>
      <c r="M38" t="s">
        <v>16</v>
      </c>
      <c r="N38" t="s">
        <v>178</v>
      </c>
      <c r="O38">
        <v>92.829359039404707</v>
      </c>
    </row>
    <row r="39" spans="1:15" x14ac:dyDescent="0.2">
      <c r="A39" t="s">
        <v>79</v>
      </c>
      <c r="B39" t="s">
        <v>80</v>
      </c>
      <c r="C39">
        <v>45206</v>
      </c>
      <c r="D39" s="2">
        <v>45766</v>
      </c>
      <c r="E39" s="2" t="str">
        <f>TEXT(D39,"yyyy-mm-dd")</f>
        <v>2025-04-19</v>
      </c>
      <c r="F39" t="s">
        <v>13</v>
      </c>
      <c r="G39">
        <v>39</v>
      </c>
      <c r="H39" t="s">
        <v>26</v>
      </c>
      <c r="I39" s="19" t="s">
        <v>26</v>
      </c>
      <c r="J39" t="s">
        <v>22</v>
      </c>
      <c r="K39">
        <v>20</v>
      </c>
      <c r="L39" t="s">
        <v>15</v>
      </c>
      <c r="M39" t="s">
        <v>16</v>
      </c>
      <c r="N39" t="s">
        <v>179</v>
      </c>
      <c r="O39">
        <v>92.846270928462701</v>
      </c>
    </row>
    <row r="40" spans="1:15" x14ac:dyDescent="0.2">
      <c r="A40" t="s">
        <v>81</v>
      </c>
      <c r="B40" t="s">
        <v>82</v>
      </c>
      <c r="C40">
        <v>45208</v>
      </c>
      <c r="D40" s="2">
        <v>45765</v>
      </c>
      <c r="E40" s="2" t="str">
        <f>TEXT(D40,"yyyy-mm-dd")</f>
        <v>2025-04-18</v>
      </c>
      <c r="F40" t="s">
        <v>13</v>
      </c>
      <c r="G40">
        <v>68</v>
      </c>
      <c r="H40" t="s">
        <v>33</v>
      </c>
      <c r="I40" s="19" t="s">
        <v>33</v>
      </c>
      <c r="J40" t="s">
        <v>22</v>
      </c>
      <c r="K40">
        <v>20</v>
      </c>
      <c r="L40" t="s">
        <v>15</v>
      </c>
      <c r="M40" t="s">
        <v>16</v>
      </c>
      <c r="N40" t="s">
        <v>180</v>
      </c>
      <c r="O40">
        <v>92.837814983933711</v>
      </c>
    </row>
    <row r="41" spans="1:15" s="13" customFormat="1" x14ac:dyDescent="0.2">
      <c r="A41" t="s">
        <v>83</v>
      </c>
      <c r="B41" t="s">
        <v>84</v>
      </c>
      <c r="C41">
        <v>45217</v>
      </c>
      <c r="D41" s="2">
        <v>45765</v>
      </c>
      <c r="E41" s="2" t="str">
        <f>TEXT(D41,"yyyy-mm-dd")</f>
        <v>2025-04-18</v>
      </c>
      <c r="F41" t="s">
        <v>13</v>
      </c>
      <c r="G41">
        <v>77</v>
      </c>
      <c r="H41" t="s">
        <v>26</v>
      </c>
      <c r="I41" s="19" t="s">
        <v>26</v>
      </c>
      <c r="J41" t="s">
        <v>22</v>
      </c>
      <c r="K41">
        <v>16</v>
      </c>
      <c r="L41" t="s">
        <v>15</v>
      </c>
      <c r="M41" t="s">
        <v>16</v>
      </c>
      <c r="N41" t="s">
        <v>181</v>
      </c>
      <c r="O41">
        <v>92.863182817520723</v>
      </c>
    </row>
    <row r="42" spans="1:15" x14ac:dyDescent="0.2">
      <c r="A42" t="s">
        <v>85</v>
      </c>
      <c r="B42" t="s">
        <v>86</v>
      </c>
      <c r="C42">
        <v>45318</v>
      </c>
      <c r="D42" s="2">
        <v>45767</v>
      </c>
      <c r="E42" s="2" t="str">
        <f>TEXT(D42,"yyyy-mm-dd")</f>
        <v>2025-04-20</v>
      </c>
      <c r="F42" t="s">
        <v>25</v>
      </c>
      <c r="G42">
        <v>48</v>
      </c>
      <c r="H42" t="s">
        <v>48</v>
      </c>
      <c r="I42" s="19" t="s">
        <v>48</v>
      </c>
      <c r="J42" t="s">
        <v>22</v>
      </c>
      <c r="K42">
        <v>18</v>
      </c>
      <c r="L42" t="s">
        <v>15</v>
      </c>
      <c r="M42" t="s">
        <v>16</v>
      </c>
      <c r="N42" t="s">
        <v>182</v>
      </c>
      <c r="O42">
        <v>92.837814983933711</v>
      </c>
    </row>
    <row r="43" spans="1:15" x14ac:dyDescent="0.2">
      <c r="A43" t="s">
        <v>87</v>
      </c>
      <c r="B43" t="s">
        <v>88</v>
      </c>
      <c r="C43">
        <v>45332</v>
      </c>
      <c r="D43" s="2">
        <v>45768</v>
      </c>
      <c r="E43" s="2" t="str">
        <f>TEXT(D43,"yyyy-mm-dd")</f>
        <v>2025-04-21</v>
      </c>
      <c r="F43" t="s">
        <v>13</v>
      </c>
      <c r="G43">
        <v>70</v>
      </c>
      <c r="J43" t="s">
        <v>22</v>
      </c>
      <c r="K43">
        <v>16</v>
      </c>
      <c r="L43" t="s">
        <v>15</v>
      </c>
      <c r="M43" t="s">
        <v>16</v>
      </c>
      <c r="N43" t="s">
        <v>183</v>
      </c>
      <c r="O43">
        <v>92.846270928462701</v>
      </c>
    </row>
    <row r="44" spans="1:15" x14ac:dyDescent="0.2">
      <c r="A44" t="s">
        <v>89</v>
      </c>
      <c r="B44" t="s">
        <v>90</v>
      </c>
      <c r="C44">
        <v>45420</v>
      </c>
      <c r="D44" s="2">
        <v>45768</v>
      </c>
      <c r="E44" s="2" t="str">
        <f>TEXT(D44,"yyyy-mm-dd")</f>
        <v>2025-04-21</v>
      </c>
      <c r="F44" t="s">
        <v>25</v>
      </c>
      <c r="G44">
        <v>59</v>
      </c>
      <c r="H44" t="s">
        <v>78</v>
      </c>
      <c r="I44" s="19" t="s">
        <v>78</v>
      </c>
      <c r="J44" t="s">
        <v>22</v>
      </c>
      <c r="K44">
        <v>24</v>
      </c>
      <c r="L44" t="s">
        <v>15</v>
      </c>
      <c r="M44" t="s">
        <v>16</v>
      </c>
      <c r="N44" t="s">
        <v>184</v>
      </c>
      <c r="O44">
        <v>83.823778116015561</v>
      </c>
    </row>
    <row r="45" spans="1:15" x14ac:dyDescent="0.2">
      <c r="A45" t="s">
        <v>91</v>
      </c>
      <c r="B45" t="s">
        <v>92</v>
      </c>
      <c r="C45">
        <v>45662</v>
      </c>
      <c r="D45" s="2">
        <v>45769</v>
      </c>
      <c r="E45" s="2" t="str">
        <f>TEXT(D45,"yyyy-mm-dd")</f>
        <v>2025-04-22</v>
      </c>
      <c r="F45" t="s">
        <v>13</v>
      </c>
      <c r="G45">
        <v>53</v>
      </c>
      <c r="H45" t="s">
        <v>33</v>
      </c>
      <c r="I45" s="19" t="s">
        <v>33</v>
      </c>
      <c r="J45" t="s">
        <v>22</v>
      </c>
      <c r="K45">
        <v>16</v>
      </c>
      <c r="L45" t="s">
        <v>15</v>
      </c>
      <c r="M45" t="s">
        <v>16</v>
      </c>
      <c r="N45" t="s">
        <v>185</v>
      </c>
      <c r="O45">
        <v>92.880094706578717</v>
      </c>
    </row>
    <row r="46" spans="1:15" x14ac:dyDescent="0.2">
      <c r="A46" t="s">
        <v>93</v>
      </c>
      <c r="B46" t="s">
        <v>94</v>
      </c>
      <c r="C46">
        <v>45678</v>
      </c>
      <c r="D46" s="2">
        <v>45769</v>
      </c>
      <c r="E46" s="2" t="str">
        <f>TEXT(D46,"yyyy-mm-dd")</f>
        <v>2025-04-22</v>
      </c>
      <c r="F46" t="s">
        <v>25</v>
      </c>
      <c r="G46">
        <v>36</v>
      </c>
      <c r="H46" t="s">
        <v>21</v>
      </c>
      <c r="I46" s="19" t="s">
        <v>21</v>
      </c>
      <c r="J46" t="s">
        <v>22</v>
      </c>
      <c r="K46">
        <v>18</v>
      </c>
      <c r="L46" t="s">
        <v>15</v>
      </c>
      <c r="M46" t="s">
        <v>16</v>
      </c>
      <c r="N46" t="s">
        <v>186</v>
      </c>
      <c r="O46">
        <v>91.780821917808225</v>
      </c>
    </row>
    <row r="47" spans="1:15" x14ac:dyDescent="0.2">
      <c r="A47" s="4" t="s">
        <v>95</v>
      </c>
      <c r="B47" s="4" t="s">
        <v>96</v>
      </c>
      <c r="C47" s="4"/>
      <c r="D47" s="3"/>
      <c r="E47" s="3"/>
      <c r="F47" s="4"/>
      <c r="G47" s="4"/>
      <c r="H47" s="4"/>
      <c r="I47" s="20"/>
      <c r="J47" s="4"/>
      <c r="K47" s="4"/>
      <c r="L47" t="s">
        <v>15</v>
      </c>
      <c r="M47" t="s">
        <v>16</v>
      </c>
      <c r="N47" t="s">
        <v>187</v>
      </c>
      <c r="O47">
        <v>92.803991205817695</v>
      </c>
    </row>
    <row r="48" spans="1:15" x14ac:dyDescent="0.2">
      <c r="A48" s="4" t="s">
        <v>97</v>
      </c>
      <c r="B48" s="4" t="s">
        <v>98</v>
      </c>
      <c r="C48" s="4"/>
      <c r="D48" s="3"/>
      <c r="E48" s="3"/>
      <c r="F48" s="4"/>
      <c r="G48" s="4"/>
      <c r="H48" s="4"/>
      <c r="I48" s="20"/>
      <c r="J48" s="4"/>
      <c r="K48" s="4"/>
      <c r="L48" t="s">
        <v>15</v>
      </c>
      <c r="M48" t="s">
        <v>16</v>
      </c>
      <c r="N48" t="s">
        <v>188</v>
      </c>
      <c r="O48">
        <v>92.846270928462701</v>
      </c>
    </row>
    <row r="49" spans="1:15" x14ac:dyDescent="0.2">
      <c r="A49" t="s">
        <v>110</v>
      </c>
      <c r="B49" t="s">
        <v>111</v>
      </c>
      <c r="C49" s="6">
        <v>26777</v>
      </c>
      <c r="D49" s="5">
        <v>45737</v>
      </c>
      <c r="E49" s="2" t="str">
        <f>TEXT(D49,"yyyy-mm-dd")</f>
        <v>2025-03-21</v>
      </c>
      <c r="H49" s="6" t="s">
        <v>112</v>
      </c>
      <c r="I49" s="19" t="s">
        <v>26</v>
      </c>
      <c r="L49" t="s">
        <v>113</v>
      </c>
      <c r="M49" t="s">
        <v>16</v>
      </c>
      <c r="N49" t="s">
        <v>189</v>
      </c>
      <c r="O49">
        <v>94.808050059191601</v>
      </c>
    </row>
    <row r="50" spans="1:15" x14ac:dyDescent="0.2">
      <c r="A50" t="s">
        <v>114</v>
      </c>
      <c r="B50" t="s">
        <v>144</v>
      </c>
      <c r="C50" s="6">
        <v>8031</v>
      </c>
      <c r="D50" s="5">
        <v>45736</v>
      </c>
      <c r="E50" s="2" t="str">
        <f>TEXT(D50,"yyyy-mm-dd")</f>
        <v>2025-03-20</v>
      </c>
      <c r="H50" s="6" t="s">
        <v>101</v>
      </c>
      <c r="I50" s="19" t="s">
        <v>26</v>
      </c>
      <c r="L50" t="s">
        <v>113</v>
      </c>
      <c r="M50" t="s">
        <v>16</v>
      </c>
      <c r="N50" t="s">
        <v>114</v>
      </c>
      <c r="O50">
        <v>99.890072721122948</v>
      </c>
    </row>
    <row r="51" spans="1:15" x14ac:dyDescent="0.2">
      <c r="A51" t="s">
        <v>99</v>
      </c>
      <c r="B51" t="s">
        <v>100</v>
      </c>
      <c r="C51">
        <v>8031</v>
      </c>
      <c r="D51" s="5">
        <v>45736</v>
      </c>
      <c r="E51" s="2" t="str">
        <f>TEXT(D51,"yyyy-mm-dd")</f>
        <v>2025-03-20</v>
      </c>
      <c r="H51" s="6" t="s">
        <v>101</v>
      </c>
      <c r="I51" s="19" t="s">
        <v>26</v>
      </c>
      <c r="L51" t="s">
        <v>15</v>
      </c>
      <c r="M51" t="s">
        <v>16</v>
      </c>
    </row>
    <row r="52" spans="1:15" x14ac:dyDescent="0.2">
      <c r="A52" s="13" t="s">
        <v>102</v>
      </c>
      <c r="B52" s="13" t="s">
        <v>103</v>
      </c>
      <c r="C52" s="13">
        <v>8031</v>
      </c>
      <c r="D52" s="14">
        <v>45736</v>
      </c>
      <c r="E52" s="15" t="str">
        <f>TEXT(D52,"yyyy-mm-dd")</f>
        <v>2025-03-20</v>
      </c>
      <c r="F52" s="13"/>
      <c r="G52" s="13"/>
      <c r="H52" s="13"/>
      <c r="I52" s="21"/>
      <c r="J52" s="13"/>
      <c r="K52" s="13"/>
      <c r="L52" s="13" t="s">
        <v>15</v>
      </c>
      <c r="M52" s="13" t="s">
        <v>16</v>
      </c>
    </row>
    <row r="53" spans="1:15" x14ac:dyDescent="0.2">
      <c r="A53" s="4" t="s">
        <v>104</v>
      </c>
      <c r="B53" s="4" t="s">
        <v>105</v>
      </c>
      <c r="C53" s="4"/>
      <c r="D53" s="7"/>
      <c r="E53" s="3"/>
      <c r="F53" s="4"/>
      <c r="G53" s="4"/>
      <c r="H53" s="4"/>
      <c r="I53" s="20"/>
      <c r="J53" s="4"/>
      <c r="K53" s="4"/>
      <c r="L53" t="s">
        <v>15</v>
      </c>
      <c r="M53" t="s">
        <v>16</v>
      </c>
      <c r="N53" t="s">
        <v>190</v>
      </c>
      <c r="O53">
        <v>96.372399797057327</v>
      </c>
    </row>
    <row r="54" spans="1:15" x14ac:dyDescent="0.2">
      <c r="A54" s="8" t="s">
        <v>138</v>
      </c>
      <c r="B54" s="8" t="s">
        <v>145</v>
      </c>
      <c r="C54" s="8"/>
      <c r="D54" s="9">
        <v>38718</v>
      </c>
      <c r="E54" s="10" t="str">
        <f>TEXT(D54,"yyyy-mm-dd")</f>
        <v>2006-01-01</v>
      </c>
      <c r="F54" s="8"/>
      <c r="G54" s="8"/>
      <c r="H54" s="11" t="s">
        <v>139</v>
      </c>
      <c r="I54" s="22"/>
      <c r="J54" s="8"/>
      <c r="K54" s="8"/>
      <c r="L54" s="8" t="s">
        <v>113</v>
      </c>
      <c r="M54" s="8" t="s">
        <v>16</v>
      </c>
      <c r="N54" t="s">
        <v>138</v>
      </c>
      <c r="O54">
        <v>98.748520209707422</v>
      </c>
    </row>
    <row r="55" spans="1:15" x14ac:dyDescent="0.2">
      <c r="A55" s="8" t="s">
        <v>140</v>
      </c>
      <c r="B55" s="8" t="s">
        <v>146</v>
      </c>
      <c r="C55" s="8"/>
      <c r="D55" s="9">
        <v>38718</v>
      </c>
      <c r="E55" s="10" t="str">
        <f>TEXT(D55,"yyyy-mm-dd")</f>
        <v>2006-01-01</v>
      </c>
      <c r="F55" s="8"/>
      <c r="G55" s="8"/>
      <c r="H55" s="11" t="s">
        <v>141</v>
      </c>
      <c r="I55" s="22"/>
      <c r="J55" s="8"/>
      <c r="K55" s="8"/>
      <c r="L55" s="8" t="s">
        <v>113</v>
      </c>
      <c r="M55" s="8" t="s">
        <v>16</v>
      </c>
      <c r="N55" t="s">
        <v>140</v>
      </c>
      <c r="O55">
        <v>99.518011161846772</v>
      </c>
    </row>
    <row r="56" spans="1:15" x14ac:dyDescent="0.2">
      <c r="A56" s="8" t="s">
        <v>142</v>
      </c>
      <c r="B56" s="8" t="s">
        <v>147</v>
      </c>
      <c r="C56" s="8"/>
      <c r="D56" s="9">
        <v>38718</v>
      </c>
      <c r="E56" s="10" t="str">
        <f>TEXT(D56,"yyyy-mm-dd")</f>
        <v>2006-01-01</v>
      </c>
      <c r="F56" s="8"/>
      <c r="G56" s="8"/>
      <c r="H56" s="11" t="s">
        <v>141</v>
      </c>
      <c r="I56" s="22"/>
      <c r="J56" s="8"/>
      <c r="K56" s="8"/>
      <c r="L56" s="8" t="s">
        <v>113</v>
      </c>
      <c r="M56" s="8" t="s">
        <v>16</v>
      </c>
      <c r="N56" t="s">
        <v>142</v>
      </c>
      <c r="O56">
        <v>98.748520209707422</v>
      </c>
    </row>
    <row r="57" spans="1:15" x14ac:dyDescent="0.2">
      <c r="A57" s="4" t="s">
        <v>106</v>
      </c>
      <c r="B57" s="4" t="s">
        <v>107</v>
      </c>
      <c r="C57" s="4"/>
      <c r="D57" s="7">
        <v>42370</v>
      </c>
      <c r="E57" s="3"/>
      <c r="F57" s="4"/>
      <c r="G57" s="4"/>
      <c r="H57" s="11" t="s">
        <v>141</v>
      </c>
      <c r="I57" s="22"/>
      <c r="J57" s="4"/>
      <c r="K57" s="4"/>
      <c r="L57" t="s">
        <v>15</v>
      </c>
      <c r="M57" t="s">
        <v>16</v>
      </c>
      <c r="N57" t="s">
        <v>191</v>
      </c>
      <c r="O57">
        <v>99.70404194148486</v>
      </c>
    </row>
    <row r="58" spans="1:15" x14ac:dyDescent="0.2">
      <c r="A58" s="4" t="s">
        <v>108</v>
      </c>
      <c r="B58" s="4" t="s">
        <v>109</v>
      </c>
      <c r="C58" s="4"/>
      <c r="D58" s="7"/>
      <c r="E58" s="3"/>
      <c r="F58" s="4"/>
      <c r="G58" s="4"/>
      <c r="H58" s="11" t="s">
        <v>141</v>
      </c>
      <c r="I58" s="22"/>
      <c r="J58" s="4"/>
      <c r="K58" s="4"/>
      <c r="L58" t="s">
        <v>15</v>
      </c>
      <c r="M58" t="s">
        <v>16</v>
      </c>
      <c r="N58" t="s">
        <v>192</v>
      </c>
      <c r="O58">
        <v>85.734821579570436</v>
      </c>
    </row>
    <row r="59" spans="1:15" x14ac:dyDescent="0.2">
      <c r="A59" s="8" t="s">
        <v>143</v>
      </c>
      <c r="B59" s="8" t="s">
        <v>148</v>
      </c>
      <c r="C59" s="8"/>
      <c r="D59" s="9">
        <v>38718</v>
      </c>
      <c r="E59" s="10" t="str">
        <f>TEXT(D59,"yyyy-mm-dd")</f>
        <v>2006-01-01</v>
      </c>
      <c r="F59" s="8"/>
      <c r="G59" s="8"/>
      <c r="H59" s="11" t="s">
        <v>141</v>
      </c>
      <c r="I59" s="22"/>
      <c r="J59" s="8"/>
      <c r="K59" s="8"/>
      <c r="L59" s="8" t="s">
        <v>113</v>
      </c>
      <c r="M59" s="8" t="s">
        <v>16</v>
      </c>
      <c r="N59" t="s">
        <v>143</v>
      </c>
      <c r="O59">
        <v>98.748520209707422</v>
      </c>
    </row>
    <row r="60" spans="1:15" x14ac:dyDescent="0.2">
      <c r="B60" t="s">
        <v>149</v>
      </c>
      <c r="D60" s="12">
        <v>42370</v>
      </c>
      <c r="E60" s="10" t="str">
        <f>TEXT(D60,"yyyy-mm-dd")</f>
        <v>2016-01-01</v>
      </c>
      <c r="H60" s="11" t="s">
        <v>141</v>
      </c>
      <c r="I60" s="22"/>
    </row>
  </sheetData>
  <sortState xmlns:xlrd2="http://schemas.microsoft.com/office/spreadsheetml/2017/richdata2" ref="A2:M60">
    <sortCondition ref="A1:A60"/>
  </sortState>
  <conditionalFormatting sqref="B46">
    <cfRule type="duplicateValues" dxfId="2" priority="1"/>
    <cfRule type="duplicateValues" dxfId="1" priority="2"/>
    <cfRule type="duplicateValues" dxfId="0" priority="3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Mauritius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Ramphal, Y, Miss [26700689@sun.ac.za]</dc:creator>
  <cp:lastModifiedBy>Tegally, Houriiyah [houriiyah@sun.ac.za]</cp:lastModifiedBy>
  <dcterms:created xsi:type="dcterms:W3CDTF">2025-05-20T12:02:25Z</dcterms:created>
  <dcterms:modified xsi:type="dcterms:W3CDTF">2025-07-21T04:54:52Z</dcterms:modified>
</cp:coreProperties>
</file>